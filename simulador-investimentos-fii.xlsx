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" sheetId="1" state="visible" r:id="rId3"/>
    <sheet name="Apoio" sheetId="2" state="visible" r:id="rId4"/>
  </sheets>
  <definedNames>
    <definedName function="false" hidden="false" name="anos" vbProcedure="false">App!$D$12</definedName>
    <definedName function="false" hidden="false" name="aporte" vbProcedure="false">App!$D$11</definedName>
    <definedName function="false" hidden="false" name="patrimonio" vbProcedure="false">App!$D$14</definedName>
    <definedName function="false" hidden="false" name="rendimento_carteira" vbProcedure="false">App!$D$7</definedName>
    <definedName function="false" hidden="false" name="salario" vbProcedure="false">App!$D$6</definedName>
    <definedName function="false" hidden="false" name="taxa_mensal" vbProcedure="false">App!$D$13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<sst xmlns="http://schemas.openxmlformats.org/spreadsheetml/2006/main" count="81" uniqueCount="46">
  <si>
    <t xml:space="preserve">📊  SIMULADOR DE INVESTIMENTOS EM FUNDOS IMOBILIÁRIOS</t>
  </si>
  <si>
    <t xml:space="preserve">Aporte mensal, patrimônio projetado e divisão por perfil de investidor</t>
  </si>
  <si>
    <t xml:space="preserve">Células azuis = você edita.  Células cinzas = cálculo automático, não edite.</t>
  </si>
  <si>
    <t xml:space="preserve">CONFIGURAÇÕES</t>
  </si>
  <si>
    <t xml:space="preserve">Salário mensal (R$)</t>
  </si>
  <si>
    <t xml:space="preserve">Rendimento da carteira (% a.m.)</t>
  </si>
  <si>
    <t xml:space="preserve">Sugestão de aporte (30% do salário)</t>
  </si>
  <si>
    <t xml:space="preserve">SIMULE SEU APORTE</t>
  </si>
  <si>
    <t xml:space="preserve">1) Quanto investir por mês? (R$)</t>
  </si>
  <si>
    <t xml:space="preserve">2) Por quantos anos?</t>
  </si>
  <si>
    <t xml:space="preserve">3) Taxa de rendimento mensal (%)?</t>
  </si>
  <si>
    <t xml:space="preserve">4) Patrimônio acumulado (R$)</t>
  </si>
  <si>
    <t xml:space="preserve">5) Dividendos mensais estimados (R$)</t>
  </si>
  <si>
    <t xml:space="preserve">CENÁRIOS DE LONGO PRAZO</t>
  </si>
  <si>
    <t xml:space="preserve">Anos</t>
  </si>
  <si>
    <t xml:space="preserve">Cenário</t>
  </si>
  <si>
    <t xml:space="preserve">Patrimônio (R$)</t>
  </si>
  <si>
    <t xml:space="preserve">Dividendo mensal (R$)</t>
  </si>
  <si>
    <t xml:space="preserve">Quanto em 2 anos?</t>
  </si>
  <si>
    <t xml:space="preserve">Quanto em 5 anos?</t>
  </si>
  <si>
    <t xml:space="preserve">Quanto em 10 anos?</t>
  </si>
  <si>
    <t xml:space="preserve">Quanto em 20 anos?</t>
  </si>
  <si>
    <t xml:space="preserve">Quanto em 30 anos?</t>
  </si>
  <si>
    <t xml:space="preserve">PERFIL DO INVESTIDOR</t>
  </si>
  <si>
    <t xml:space="preserve">Perfil escolhido</t>
  </si>
  <si>
    <t xml:space="preserve">Moderado</t>
  </si>
  <si>
    <t xml:space="preserve">Valor mensal a investir (R$)</t>
  </si>
  <si>
    <t xml:space="preserve">TIPO DE FII</t>
  </si>
  <si>
    <t xml:space="preserve">Percentual Sugerido</t>
  </si>
  <si>
    <t xml:space="preserve">Valor (R$)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</si>
  <si>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</si>
  <si>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</si>
  <si>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</si>
  <si>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</si>
  <si>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</si>
  <si>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</t>
  </si>
  <si>
    <t xml:space="preserve">TOTAL</t>
  </si>
  <si>
    <t xml:space="preserve">CHAVE</t>
  </si>
  <si>
    <t xml:space="preserve">PERFIL</t>
  </si>
  <si>
    <t xml:space="preserve">%</t>
  </si>
  <si>
    <t xml:space="preserve">Conservador</t>
  </si>
  <si>
    <t xml:space="preserve">Arrojado</t>
  </si>
  <si>
    <t xml:space="preserve">Verificação: soma de cada perfil deve ser 100%</t>
  </si>
  <si>
    <t xml:space="preserve">Soma Conservador</t>
  </si>
  <si>
    <t xml:space="preserve">Soma Moderado</t>
  </si>
  <si>
    <t xml:space="preserve">Soma Arrojado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</si>
</sst>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0%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E8EEF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F2430"/>
      <name val="Arial"/>
      <family val="0"/>
      <charset val="1"/>
    </font>
    <font>
      <b val="true"/>
      <sz val="11"/>
      <color rgb="FF1F4E8C"/>
      <name val="Arial"/>
      <family val="0"/>
      <charset val="1"/>
    </font>
    <font>
      <b val="true"/>
      <sz val="11"/>
      <color rgb="FF1F24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8C"/>
      </patternFill>
    </fill>
    <fill>
      <patternFill patternType="solid">
        <fgColor rgb="FF2E5597"/>
        <bgColor rgb="FF1F4E8C"/>
      </patternFill>
    </fill>
    <fill>
      <patternFill patternType="solid">
        <fgColor rgb="FFFFFFFF"/>
        <bgColor rgb="FFFFFFCC"/>
      </patternFill>
    </fill>
    <fill>
      <patternFill patternType="solid">
        <fgColor rgb="FFE7E9EE"/>
        <bgColor rgb="FFE8EEF7"/>
      </patternFill>
    </fill>
    <fill>
      <patternFill patternType="solid">
        <fgColor rgb="FFD6DCE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BFC9"/>
      </left>
      <right style="thin">
        <color rgb="FFB9BFC9"/>
      </right>
      <top style="thin">
        <color rgb="FFB9BFC9"/>
      </top>
      <bottom style="thin">
        <color rgb="FFB9B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FC9"/>
      <rgbColor rgb="FF8064A2"/>
      <rgbColor rgb="FF9999FF"/>
      <rgbColor rgb="FFC0504D"/>
      <rgbColor rgb="FFFFFFCC"/>
      <rgbColor rgb="FFE8EEF7"/>
      <rgbColor rgb="FF660066"/>
      <rgbColor rgb="FFFF8080"/>
      <rgbColor rgb="FF2E5597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E"/>
      <rgbColor rgb="FFD9D9D9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1F4E8C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do aporte por tipo de fundo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App!$D$30:$D$35</c:f>
              <c:numCache>
                <c:formatCode>"R$ "#,##0.00</c:formatCode>
                <c:ptCount val="6"/>
                <c:pt idx="0">
                  <c:v>75</c:v>
                </c:pt>
                <c:pt idx="1">
                  <c:v>90</c:v>
                </c:pt>
                <c:pt idx="2">
                  <c:v>45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10</xdr:col>
      <xdr:colOff>244800</xdr:colOff>
      <xdr:row>21</xdr:row>
      <xdr:rowOff>1440</xdr:rowOff>
    </xdr:to>
    <xdr:graphicFrame>
      <xdr:nvGraphicFramePr>
        <xdr:cNvPr id="0" name="Chart 1"/>
        <xdr:cNvGraphicFramePr/>
      </xdr:nvGraphicFramePr>
      <xdr:xfrm>
        <a:off x="5497920" y="10098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4"/>
    <col collapsed="false" customWidth="true" hidden="false" outlineLevel="0" max="6" min="6" style="0" width="3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B5" s="4" t="s">
        <v>3</v>
      </c>
      <c r="C5" s="4"/>
      <c r="D5" s="4"/>
    </row>
    <row r="6" customFormat="false" ht="15" hidden="false" customHeight="false" outlineLevel="0" collapsed="false">
      <c r="B6" s="5" t="s">
        <v>4</v>
      </c>
      <c r="D6" s="6" t="n">
        <v>3500</v>
      </c>
    </row>
    <row r="7" customFormat="false" ht="15" hidden="false" customHeight="false" outlineLevel="0" collapsed="false">
      <c r="B7" s="5" t="s">
        <v>5</v>
      </c>
      <c r="D7" s="7" t="n">
        <v>0.0095</v>
      </c>
    </row>
    <row r="8" customFormat="false" ht="15" hidden="false" customHeight="false" outlineLevel="0" collapsed="false">
      <c r="B8" s="5" t="s">
        <v>6</v>
      </c>
      <c r="D8" s="8" t="n">
        <f aca="false">salario*30%</f>
        <v>1050</v>
      </c>
    </row>
    <row r="10" customFormat="false" ht="15" hidden="false" customHeight="false" outlineLevel="0" collapsed="false">
      <c r="B10" s="4" t="s">
        <v>7</v>
      </c>
      <c r="C10" s="4"/>
      <c r="D10" s="4"/>
    </row>
    <row r="11" customFormat="false" ht="15" hidden="false" customHeight="false" outlineLevel="0" collapsed="false">
      <c r="B11" s="5" t="s">
        <v>8</v>
      </c>
      <c r="D11" s="6" t="n">
        <v>300</v>
      </c>
    </row>
    <row r="12" customFormat="false" ht="15" hidden="false" customHeight="false" outlineLevel="0" collapsed="false">
      <c r="B12" s="5" t="s">
        <v>9</v>
      </c>
      <c r="D12" s="9" t="n">
        <v>8</v>
      </c>
    </row>
    <row r="13" customFormat="false" ht="15" hidden="false" customHeight="false" outlineLevel="0" collapsed="false">
      <c r="B13" s="5" t="s">
        <v>10</v>
      </c>
      <c r="D13" s="7" t="n">
        <v>0.0095</v>
      </c>
    </row>
    <row r="14" customFormat="false" ht="15" hidden="false" customHeight="false" outlineLevel="0" collapsed="false">
      <c r="B14" s="5" t="s">
        <v>11</v>
      </c>
      <c r="D14" s="8" t="n">
        <f aca="false">FV(taxa_mensal,anos*12,aporte*-1)</f>
        <v>46692.7378204668</v>
      </c>
    </row>
    <row r="15" customFormat="false" ht="15" hidden="false" customHeight="false" outlineLevel="0" collapsed="false">
      <c r="B15" s="5" t="s">
        <v>12</v>
      </c>
      <c r="D15" s="8" t="n">
        <f aca="false">patrimonio*rendimento_carteira</f>
        <v>443.581009294434</v>
      </c>
    </row>
    <row r="17" customFormat="false" ht="15" hidden="false" customHeight="false" outlineLevel="0" collapsed="false">
      <c r="B17" s="4" t="s">
        <v>13</v>
      </c>
      <c r="C17" s="4"/>
      <c r="D17" s="4"/>
    </row>
    <row r="18" customFormat="false" ht="15" hidden="false" customHeight="false" outlineLevel="0" collapsed="false">
      <c r="A18" s="10" t="s">
        <v>14</v>
      </c>
      <c r="B18" s="11" t="s">
        <v>15</v>
      </c>
      <c r="C18" s="10" t="s">
        <v>16</v>
      </c>
      <c r="D18" s="10" t="s">
        <v>17</v>
      </c>
    </row>
    <row r="19" customFormat="false" ht="15" hidden="false" customHeight="false" outlineLevel="0" collapsed="false">
      <c r="A19" s="12" t="n">
        <v>2</v>
      </c>
      <c r="B19" s="13" t="s">
        <v>18</v>
      </c>
      <c r="C19" s="8" t="n">
        <f aca="false">FV(taxa_mensal,A19*12,aporte*-1)</f>
        <v>8044.24000167328</v>
      </c>
      <c r="D19" s="8" t="n">
        <f aca="false">C19*rendimento_carteira</f>
        <v>76.4202800158961</v>
      </c>
    </row>
    <row r="20" customFormat="false" ht="15" hidden="false" customHeight="false" outlineLevel="0" collapsed="false">
      <c r="A20" s="12" t="n">
        <v>5</v>
      </c>
      <c r="B20" s="13" t="s">
        <v>19</v>
      </c>
      <c r="C20" s="8" t="n">
        <f aca="false">FV(taxa_mensal,A20*12,aporte*-1)</f>
        <v>24111.030616961</v>
      </c>
      <c r="D20" s="8" t="n">
        <f aca="false">C20*rendimento_carteira</f>
        <v>229.05479086113</v>
      </c>
    </row>
    <row r="21" customFormat="false" ht="15" hidden="false" customHeight="false" outlineLevel="0" collapsed="false">
      <c r="A21" s="12" t="n">
        <v>10</v>
      </c>
      <c r="B21" s="13" t="s">
        <v>20</v>
      </c>
      <c r="C21" s="8" t="n">
        <f aca="false">FV(taxa_mensal,A21*12,aporte*-1)</f>
        <v>66631.2181519697</v>
      </c>
      <c r="D21" s="8" t="n">
        <f aca="false">C21*rendimento_carteira</f>
        <v>632.996572443712</v>
      </c>
    </row>
    <row r="22" customFormat="false" ht="15" hidden="false" customHeight="false" outlineLevel="0" collapsed="false">
      <c r="A22" s="12" t="n">
        <v>20</v>
      </c>
      <c r="B22" s="13" t="s">
        <v>21</v>
      </c>
      <c r="C22" s="8" t="n">
        <f aca="false">FV(taxa_mensal,A22*12,aporte*-1)</f>
        <v>273853.545330426</v>
      </c>
      <c r="D22" s="8" t="n">
        <f aca="false">C22*rendimento_carteira</f>
        <v>2601.60868063905</v>
      </c>
    </row>
    <row r="23" customFormat="false" ht="15" hidden="false" customHeight="false" outlineLevel="0" collapsed="false">
      <c r="A23" s="12" t="n">
        <v>30</v>
      </c>
      <c r="B23" s="13" t="s">
        <v>22</v>
      </c>
      <c r="C23" s="8" t="n">
        <f aca="false">FV(taxa_mensal,A23*12,aporte*-1)</f>
        <v>918312.615301457</v>
      </c>
      <c r="D23" s="8" t="n">
        <f aca="false">C23*rendimento_carteira</f>
        <v>8723.96984536384</v>
      </c>
    </row>
    <row r="25" customFormat="false" ht="15" hidden="false" customHeight="false" outlineLevel="0" collapsed="false">
      <c r="B25" s="4" t="s">
        <v>23</v>
      </c>
      <c r="C25" s="4"/>
      <c r="D25" s="4"/>
    </row>
    <row r="26" customFormat="false" ht="15" hidden="false" customHeight="false" outlineLevel="0" collapsed="false">
      <c r="B26" s="5" t="s">
        <v>24</v>
      </c>
      <c r="C26" s="14" t="s">
        <v>25</v>
      </c>
    </row>
    <row r="27" customFormat="false" ht="15" hidden="false" customHeight="false" outlineLevel="0" collapsed="false">
      <c r="B27" s="5" t="s">
        <v>26</v>
      </c>
      <c r="C27" s="15" t="n">
        <f aca="false">aporte</f>
        <v>300</v>
      </c>
    </row>
    <row r="29" customFormat="false" ht="15" hidden="false" customHeight="false" outlineLevel="0" collapsed="false">
      <c r="B29" s="11" t="s">
        <v>27</v>
      </c>
      <c r="C29" s="10" t="s">
        <v>28</v>
      </c>
      <c r="D29" s="10" t="s">
        <v>29</v>
      </c>
    </row>
    <row r="30" customFormat="false" ht="15" hidden="false" customHeight="false" outlineLevel="0" collapsed="false">
      <c r="B30" s="13" t="s">
        <v>30</v>
      </c>
      <c r="C30" s="16" t="n">
        <f aca="false">VLOOKUP($C$26&amp;"-"&amp;B30,Apoio!$A:$D,4,FALSE())</f>
        <v>0.25</v>
      </c>
      <c r="D30" s="15" t="n">
        <f aca="false">C30*$C$27</f>
        <v>75</v>
      </c>
    </row>
    <row r="31" customFormat="false" ht="15" hidden="false" customHeight="false" outlineLevel="0" collapsed="false">
      <c r="B31" s="13" t="s">
        <v>31</v>
      </c>
      <c r="C31" s="16" t="n">
        <f aca="false">VLOOKUP($C$26&amp;"-"&amp;B31,Apoio!$A:$D,4,FALSE())</f>
        <v>0.3</v>
      </c>
      <c r="D31" s="15" t="n">
        <f aca="false">C31*$C$27</f>
        <v>90</v>
      </c>
    </row>
    <row r="32" customFormat="false" ht="15" hidden="false" customHeight="false" outlineLevel="0" collapsed="false">
      <c r="B32" s="13" t="s">
        <v>32</v>
      </c>
      <c r="C32" s="16" t="n">
        <f aca="false">VLOOKUP($C$26&amp;"-"&amp;B32,Apoio!$A:$D,4,FALSE())</f>
        <v>0.15</v>
      </c>
      <c r="D32" s="15" t="n">
        <f aca="false">C32*$C$27</f>
        <v>45</v>
      </c>
    </row>
    <row r="33" customFormat="false" ht="15" hidden="false" customHeight="false" outlineLevel="0" collapsed="false">
      <c r="B33" s="13" t="s">
        <v>33</v>
      </c>
      <c r="C33" s="16" t="n">
        <f aca="false">VLOOKUP($C$26&amp;"-"&amp;B33,Apoio!$A:$D,4,FALSE())</f>
        <v>0.1</v>
      </c>
      <c r="D33" s="15" t="n">
        <f aca="false">C33*$C$27</f>
        <v>30</v>
      </c>
    </row>
    <row r="34" customFormat="false" ht="15" hidden="false" customHeight="false" outlineLevel="0" collapsed="false">
      <c r="B34" s="13" t="s">
        <v>34</v>
      </c>
      <c r="C34" s="16" t="n">
        <f aca="false">VLOOKUP($C$26&amp;"-"&amp;B34,Apoio!$A:$D,4,FALSE())</f>
        <v>0.1</v>
      </c>
      <c r="D34" s="15" t="n">
        <f aca="false">C34*$C$27</f>
        <v>30</v>
      </c>
    </row>
    <row r="35" customFormat="false" ht="15" hidden="false" customHeight="false" outlineLevel="0" collapsed="false">
      <c r="B35" s="13" t="s">
        <v>35</v>
      </c>
      <c r="C35" s="16" t="n">
        <f aca="false">VLOOKUP($C$26&amp;"-"&amp;B35,Apoio!$A:$D,4,FALSE())</f>
        <v>0.1</v>
      </c>
      <c r="D35" s="15" t="n">
        <f aca="false">C35*$C$27</f>
        <v>30</v>
      </c>
    </row>
    <row r="36" customFormat="false" ht="15" hidden="false" customHeight="false" outlineLevel="0" collapsed="false">
      <c r="B36" s="13" t="s">
        <v>36</v>
      </c>
      <c r="C36" s="17" t="n">
        <f aca="false">SUM(C30:C35)</f>
        <v>1</v>
      </c>
      <c r="D36" s="18" t="n">
        <f aca="false">SUM(D30:D35)</f>
        <v>300</v>
      </c>
    </row>
  </sheetData>
  <mergeCells count="7">
    <mergeCell ref="A1:G1"/>
    <mergeCell ref="A2:G2"/>
    <mergeCell ref="A3:G3"/>
    <mergeCell ref="B5:D5"/>
    <mergeCell ref="B10:D10"/>
    <mergeCell ref="B17:D17"/>
    <mergeCell ref="B25:D25"/>
  </mergeCells>
  <dataValidations count="1">
    <dataValidation allowBlank="false" error="Escolha um perfil da lista: Conservador, Moderado ou Arrojado." errorStyle="stop" errorTitle="Perfil inválido" operator="between" showDropDown="false" showErrorMessage="false" showInputMessage="false" sqref="C26" type="list">
      <formula1>"Conservador,Moderado,Arrojado"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1" t="s">
        <v>37</v>
      </c>
      <c r="B1" s="11" t="s">
        <v>38</v>
      </c>
      <c r="C1" s="11" t="s">
        <v>27</v>
      </c>
      <c r="D1" s="10" t="s">
        <v>39</v>
      </c>
    </row>
    <row r="2" customFormat="false" ht="15" hidden="false" customHeight="false" outlineLevel="0" collapsed="false">
      <c r="A2" s="19" t="str">
        <f aca="false">B2&amp;"-"&amp;C2</f>
        <v>Conservador-PAPEL</v>
      </c>
      <c r="B2" s="13" t="s">
        <v>40</v>
      </c>
      <c r="C2" s="13" t="s">
        <v>30</v>
      </c>
      <c r="D2" s="20" t="n">
        <v>0.4</v>
      </c>
    </row>
    <row r="3" customFormat="false" ht="15" hidden="false" customHeight="false" outlineLevel="0" collapsed="false">
      <c r="A3" s="19" t="str">
        <f aca="false">B3&amp;"-"&amp;C3</f>
        <v>Conservador-TIJOLO</v>
      </c>
      <c r="B3" s="13" t="s">
        <v>40</v>
      </c>
      <c r="C3" s="13" t="s">
        <v>31</v>
      </c>
      <c r="D3" s="20" t="n">
        <v>0.4</v>
      </c>
    </row>
    <row r="4" customFormat="false" ht="15" hidden="false" customHeight="false" outlineLevel="0" collapsed="false">
      <c r="A4" s="19" t="str">
        <f aca="false">B4&amp;"-"&amp;C4</f>
        <v>Conservador-HÍBRIDOS</v>
      </c>
      <c r="B4" s="13" t="s">
        <v>40</v>
      </c>
      <c r="C4" s="13" t="s">
        <v>32</v>
      </c>
      <c r="D4" s="20" t="n">
        <v>0.1</v>
      </c>
    </row>
    <row r="5" customFormat="false" ht="15" hidden="false" customHeight="false" outlineLevel="0" collapsed="false">
      <c r="A5" s="19" t="str">
        <f aca="false">B5&amp;"-"&amp;C5</f>
        <v>Conservador-FOFs</v>
      </c>
      <c r="B5" s="13" t="s">
        <v>40</v>
      </c>
      <c r="C5" s="13" t="s">
        <v>33</v>
      </c>
      <c r="D5" s="20" t="n">
        <v>0.1</v>
      </c>
    </row>
    <row r="6" customFormat="false" ht="15" hidden="false" customHeight="false" outlineLevel="0" collapsed="false">
      <c r="A6" s="19" t="str">
        <f aca="false">B6&amp;"-"&amp;C6</f>
        <v>Conservador-DESENVOLVIMENTO</v>
      </c>
      <c r="B6" s="13" t="s">
        <v>40</v>
      </c>
      <c r="C6" s="13" t="s">
        <v>34</v>
      </c>
      <c r="D6" s="20" t="n">
        <v>0</v>
      </c>
    </row>
    <row r="7" customFormat="false" ht="15" hidden="false" customHeight="false" outlineLevel="0" collapsed="false">
      <c r="A7" s="19" t="str">
        <f aca="false">B7&amp;"-"&amp;C7</f>
        <v>Conservador-HOTELARIA</v>
      </c>
      <c r="B7" s="13" t="s">
        <v>40</v>
      </c>
      <c r="C7" s="13" t="s">
        <v>35</v>
      </c>
      <c r="D7" s="20" t="n">
        <v>0</v>
      </c>
    </row>
    <row r="8" customFormat="false" ht="15" hidden="false" customHeight="false" outlineLevel="0" collapsed="false">
      <c r="A8" s="19" t="str">
        <f aca="false">B8&amp;"-"&amp;C8</f>
        <v>Moderado-PAPEL</v>
      </c>
      <c r="B8" s="13" t="s">
        <v>25</v>
      </c>
      <c r="C8" s="13" t="s">
        <v>30</v>
      </c>
      <c r="D8" s="20" t="n">
        <v>0.25</v>
      </c>
    </row>
    <row r="9" customFormat="false" ht="15" hidden="false" customHeight="false" outlineLevel="0" collapsed="false">
      <c r="A9" s="19" t="str">
        <f aca="false">B9&amp;"-"&amp;C9</f>
        <v>Moderado-TIJOLO</v>
      </c>
      <c r="B9" s="13" t="s">
        <v>25</v>
      </c>
      <c r="C9" s="13" t="s">
        <v>31</v>
      </c>
      <c r="D9" s="20" t="n">
        <v>0.3</v>
      </c>
    </row>
    <row r="10" customFormat="false" ht="15" hidden="false" customHeight="false" outlineLevel="0" collapsed="false">
      <c r="A10" s="19" t="str">
        <f aca="false">B10&amp;"-"&amp;C10</f>
        <v>Moderado-HÍBRIDOS</v>
      </c>
      <c r="B10" s="13" t="s">
        <v>25</v>
      </c>
      <c r="C10" s="13" t="s">
        <v>32</v>
      </c>
      <c r="D10" s="20" t="n">
        <v>0.15</v>
      </c>
    </row>
    <row r="11" customFormat="false" ht="15" hidden="false" customHeight="false" outlineLevel="0" collapsed="false">
      <c r="A11" s="19" t="str">
        <f aca="false">B11&amp;"-"&amp;C11</f>
        <v>Moderado-FOFs</v>
      </c>
      <c r="B11" s="13" t="s">
        <v>25</v>
      </c>
      <c r="C11" s="13" t="s">
        <v>33</v>
      </c>
      <c r="D11" s="20" t="n">
        <v>0.1</v>
      </c>
    </row>
    <row r="12" customFormat="false" ht="15" hidden="false" customHeight="false" outlineLevel="0" collapsed="false">
      <c r="A12" s="19" t="str">
        <f aca="false">B12&amp;"-"&amp;C12</f>
        <v>Moderado-DESENVOLVIMENTO</v>
      </c>
      <c r="B12" s="13" t="s">
        <v>25</v>
      </c>
      <c r="C12" s="13" t="s">
        <v>34</v>
      </c>
      <c r="D12" s="20" t="n">
        <v>0.1</v>
      </c>
    </row>
    <row r="13" customFormat="false" ht="15" hidden="false" customHeight="false" outlineLevel="0" collapsed="false">
      <c r="A13" s="19" t="str">
        <f aca="false">B13&amp;"-"&amp;C13</f>
        <v>Moderado-HOTELARIA</v>
      </c>
      <c r="B13" s="13" t="s">
        <v>25</v>
      </c>
      <c r="C13" s="13" t="s">
        <v>35</v>
      </c>
      <c r="D13" s="20" t="n">
        <v>0.1</v>
      </c>
    </row>
    <row r="14" customFormat="false" ht="15" hidden="false" customHeight="false" outlineLevel="0" collapsed="false">
      <c r="A14" s="19" t="str">
        <f aca="false">B14&amp;"-"&amp;C14</f>
        <v>Arrojado-PAPEL</v>
      </c>
      <c r="B14" s="13" t="s">
        <v>41</v>
      </c>
      <c r="C14" s="13" t="s">
        <v>30</v>
      </c>
      <c r="D14" s="20" t="n">
        <v>0.15</v>
      </c>
    </row>
    <row r="15" customFormat="false" ht="15" hidden="false" customHeight="false" outlineLevel="0" collapsed="false">
      <c r="A15" s="19" t="str">
        <f aca="false">B15&amp;"-"&amp;C15</f>
        <v>Arrojado-TIJOLO</v>
      </c>
      <c r="B15" s="13" t="s">
        <v>41</v>
      </c>
      <c r="C15" s="13" t="s">
        <v>31</v>
      </c>
      <c r="D15" s="20" t="n">
        <v>0.15</v>
      </c>
    </row>
    <row r="16" customFormat="false" ht="15" hidden="false" customHeight="false" outlineLevel="0" collapsed="false">
      <c r="A16" s="19" t="str">
        <f aca="false">B16&amp;"-"&amp;C16</f>
        <v>Arrojado-HÍBRIDOS</v>
      </c>
      <c r="B16" s="13" t="s">
        <v>41</v>
      </c>
      <c r="C16" s="13" t="s">
        <v>32</v>
      </c>
      <c r="D16" s="20" t="n">
        <v>0.1</v>
      </c>
    </row>
    <row r="17" customFormat="false" ht="15" hidden="false" customHeight="false" outlineLevel="0" collapsed="false">
      <c r="A17" s="19" t="str">
        <f aca="false">B17&amp;"-"&amp;C17</f>
        <v>Arrojado-FOFs</v>
      </c>
      <c r="B17" s="13" t="s">
        <v>41</v>
      </c>
      <c r="C17" s="13" t="s">
        <v>33</v>
      </c>
      <c r="D17" s="20" t="n">
        <v>0.1</v>
      </c>
    </row>
    <row r="18" customFormat="false" ht="15" hidden="false" customHeight="false" outlineLevel="0" collapsed="false">
      <c r="A18" s="19" t="str">
        <f aca="false">B18&amp;"-"&amp;C18</f>
        <v>Arrojado-DESENVOLVIMENTO</v>
      </c>
      <c r="B18" s="13" t="s">
        <v>41</v>
      </c>
      <c r="C18" s="13" t="s">
        <v>34</v>
      </c>
      <c r="D18" s="20" t="n">
        <v>0.25</v>
      </c>
    </row>
    <row r="19" customFormat="false" ht="15" hidden="false" customHeight="false" outlineLevel="0" collapsed="false">
      <c r="A19" s="19" t="str">
        <f aca="false">B19&amp;"-"&amp;C19</f>
        <v>Arrojado-HOTELARIA</v>
      </c>
      <c r="B19" s="13" t="s">
        <v>41</v>
      </c>
      <c r="C19" s="13" t="s">
        <v>35</v>
      </c>
      <c r="D19" s="20" t="n">
        <v>0.25</v>
      </c>
    </row>
    <row r="21" customFormat="false" ht="15" hidden="false" customHeight="false" outlineLevel="0" collapsed="false">
      <c r="A21" s="21" t="s">
        <v>42</v>
      </c>
    </row>
    <row r="22" customFormat="false" ht="15" hidden="false" customHeight="false" outlineLevel="0" collapsed="false">
      <c r="A22" s="5" t="s">
        <v>43</v>
      </c>
      <c r="B22" s="22" t="n">
        <f aca="false">SUM(D2:D7)</f>
        <v>1</v>
      </c>
    </row>
    <row r="23" customFormat="false" ht="15" hidden="false" customHeight="false" outlineLevel="0" collapsed="false">
      <c r="A23" s="5" t="s">
        <v>44</v>
      </c>
      <c r="B23" s="22" t="n">
        <f aca="false">SUM(D8:D13)</f>
        <v>1</v>
      </c>
    </row>
    <row r="24" customFormat="false" ht="15" hidden="false" customHeight="false" outlineLevel="0" collapsed="false">
      <c r="A24" s="5" t="s">
        <v>45</v>
      </c>
      <c r="B24" s="22" t="n">
        <f aca="false">SUM(D14:D19)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2026-10-15T16:51:01Z</dcterms:created>
  <dc:creator>openpyxl</dc:creator>
  <dc:description/>
  <dc:language>en-US</dc:language>
  <cp:lastModifiedBy/>
  <dcterms:modified xsi:type="dcterms:W3CDTF">2026-10-15T16:51:06Z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